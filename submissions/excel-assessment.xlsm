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neeshchowdary\Downloads\"/>
    </mc:Choice>
  </mc:AlternateContent>
  <xr:revisionPtr revIDLastSave="0" documentId="8_{7A7647E0-5573-4B6E-94E9-532C59D8B1AE}" xr6:coauthVersionLast="47" xr6:coauthVersionMax="47" xr10:uidLastSave="{00000000-0000-0000-0000-000000000000}"/>
  <bookViews>
    <workbookView xWindow="-108" yWindow="-108" windowWidth="23256" windowHeight="12456" tabRatio="849" firstSheet="1" activeTab="7" xr2:uid="{00000000-000D-0000-FFFF-FFFF00000000}"/>
  </bookViews>
  <sheets>
    <sheet name="Instructions" sheetId="22" r:id="rId1"/>
    <sheet name="Dataset" sheetId="1" r:id="rId2"/>
    <sheet name="Task_1" sheetId="15" r:id="rId3"/>
    <sheet name="Task_1_Solution" sheetId="23" r:id="rId4"/>
    <sheet name="Task_2_Solution" sheetId="18" r:id="rId5"/>
    <sheet name="Task_3_Solution" sheetId="16" r:id="rId6"/>
    <sheet name="Task_4_Solution" sheetId="19" r:id="rId7"/>
    <sheet name="Task_5_Solution" sheetId="20" r:id="rId8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8" i="20"/>
  <c r="C29" i="20"/>
  <c r="C30" i="20"/>
  <c r="C31" i="20"/>
  <c r="C32" i="20"/>
  <c r="C33" i="20"/>
  <c r="C34" i="20"/>
  <c r="C35" i="20"/>
  <c r="C24" i="20"/>
  <c r="C25" i="20"/>
  <c r="C26" i="20"/>
  <c r="C27" i="20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F30" i="18" s="1"/>
  <c r="E6" i="18"/>
  <c r="E30" i="18" s="1"/>
  <c r="D6" i="18"/>
  <c r="D30" i="18" s="1"/>
  <c r="C6" i="18"/>
  <c r="C29" i="18" s="1"/>
  <c r="C22" i="19"/>
  <c r="H41" i="23"/>
  <c r="D29" i="18" l="1"/>
  <c r="E29" i="18"/>
  <c r="F29" i="18"/>
  <c r="C28" i="18"/>
  <c r="C30" i="18"/>
  <c r="D28" i="18"/>
  <c r="E28" i="18"/>
  <c r="F28" i="18"/>
  <c r="B29" i="18"/>
  <c r="B30" i="18"/>
  <c r="B28" i="18"/>
</calcChain>
</file>

<file path=xl/sharedStrings.xml><?xml version="1.0" encoding="utf-8"?>
<sst xmlns="http://schemas.openxmlformats.org/spreadsheetml/2006/main" count="563" uniqueCount="200">
  <si>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</si>
  <si>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</si>
  <si>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</si>
  <si>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</si>
  <si>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</si>
  <si>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</si>
  <si>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</si>
  <si>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</si>
  <si>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</si>
  <si>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</si>
  <si>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</si>
  <si>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</si>
  <si>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</si>
  <si>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</si>
  <si>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</si>
  <si>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</si>
  <si>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</si>
  <si>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</si>
  <si>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</si>
  <si>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</si>
  <si>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</si>
  <si>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</si>
  <si>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</si>
  <si>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</si>
  <si>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</si>
  <si>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</si>
  <si>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</si>
  <si>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</si>
  <si>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</si>
  <si>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</si>
  <si>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</si>
  <si>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</si>
  <si>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</si>
  <si>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</si>
  <si>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</si>
  <si>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</si>
  <si>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</si>
  <si>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</si>
  <si>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</si>
  <si>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</si>
  <si>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</si>
  <si>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</si>
  <si>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</si>
  <si>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</si>
  <si>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</si>
  <si>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</si>
  <si>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</si>
  <si>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</si>
  <si>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</si>
  <si>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</si>
  <si>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</si>
  <si>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</si>
  <si>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</si>
  <si>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</si>
  <si>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</si>
  <si>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</si>
  <si>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</si>
  <si>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</si>
  <si>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</si>
  <si>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</si>
  <si>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</si>
  <si>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</si>
  <si>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</si>
  <si>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</si>
  <si>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</si>
  <si>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</si>
  <si>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</si>
  <si>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</si>
  <si>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</si>
  <si>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</si>
  <si>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</si>
  <si>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</si>
  <si>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</si>
  <si>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</si>
  <si>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</si>
  <si>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</si>
  <si>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</si>
  <si>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</si>
  <si>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</si>
  <si>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</si>
  <si>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</si>
  <si>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</si>
  <si>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</si>
  <si>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</si>
  <si>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</si>
  <si>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</si>
  <si>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</si>
  <si>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</si>
  <si>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</si>
  <si>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</si>
  <si>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</si>
  <si>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</si>
  <si>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</si>
  <si>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</si>
  <si>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</si>
  <si>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</si>
  <si>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</si>
  <si>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</si>
  <si>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</si>
  <si>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</si>
  <si>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</si>
  <si>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</si>
  <si>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</si>
  <si>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</si>
  <si>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</si>
  <si>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</si>
  <si>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</si>
  <si>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</si>
  <si>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</si>
  <si>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</si>
  <si>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</si>
  <si>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</si>
  <si>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</si>
  <si>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</si>
  <si>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</si>
  <si>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</si>
  <si>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</si>
  <si>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</si>
  <si>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</si>
  <si>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</si>
  <si>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</si>
  <si>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</si>
  <si>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</si>
  <si>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</si>
  <si>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</si>
  <si>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</si>
  <si>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</si>
  <si>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</si>
  <si>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</si>
  <si>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</si>
  <si>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</si>
  <si>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</si>
  <si>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</si>
  <si>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</si>
  <si>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</si>
  <si>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</si>
  <si>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</si>
  <si>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</si>
  <si>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</si>
  <si>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</si>
  <si>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</si>
  <si>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</si>
  <si>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</si>
  <si>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</si>
  <si>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</si>
  <si>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</si>
  <si>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</si>
  <si>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</si>
  <si>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</si>
  <si>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</si>
  <si>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</si>
  <si>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</si>
  <si>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</si>
  <si>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</si>
  <si>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</si>
  <si>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</si>
  <si>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</si>
  <si>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</si>
  <si>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</si>
  <si>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</si>
  <si>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</si>
  <si>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</si>
  <si>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</si>
  <si>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</si>
  <si>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</si>
  <si>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</si>
  <si>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</si>
  <si>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</si>
  <si>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</si>
  <si>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</si>
  <si>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</si>
  <si>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</si>
  <si>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</si>
  <si>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</si>
  <si>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</si>
  <si>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</si>
  <si>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</si>
  <si>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</si>
  <si>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Go to the Data tab on the Excel</t>
  </si>
  <si>
    <t>In the Data Tools group, click Text to Columns</t>
  </si>
  <si>
    <t>Choose Delimited and click Next.</t>
  </si>
  <si>
    <t>Select Other and type ' - ' in the box.</t>
  </si>
  <si>
    <t>Click Next.</t>
  </si>
  <si>
    <t>You can either select a destination</t>
  </si>
  <si>
    <t>Click Finish</t>
  </si>
  <si>
    <t xml:space="preserve">Explanation for fill N/A : </t>
  </si>
  <si>
    <t>Select whole column</t>
  </si>
  <si>
    <t>Click on Sales column</t>
  </si>
  <si>
    <t>Press Ctrl + H for open find and replace dailog box</t>
  </si>
  <si>
    <t>Fill N/A on find box and fill 20 on replace box</t>
  </si>
  <si>
    <t>Click on replace</t>
  </si>
  <si>
    <t xml:space="preserve">Explanation for find sum : </t>
  </si>
  <si>
    <t>On C22 place write formula for sum</t>
  </si>
  <si>
    <t>Formula is :</t>
  </si>
  <si>
    <t xml:space="preserve">      =sum(start destination : end destination)</t>
  </si>
  <si>
    <t xml:space="preserve"> Fill up the corresponding empty cells  by using Vlookup</t>
  </si>
  <si>
    <t>Calculate minimum, maximum and average by using min , max and average formula</t>
  </si>
  <si>
    <t>INDEX($A$9:$J$18, MATCH(A23, $M$9:$M$18, 0), MATCH(B23, $M$9:$M$18, 0))</t>
  </si>
  <si>
    <r>
      <t>Index</t>
    </r>
    <r>
      <rPr>
        <sz val="10"/>
        <color rgb="FF000000"/>
        <rFont val="Times New Roman"/>
        <charset val="204"/>
      </rPr>
      <t>: This function is used to locate a specific value within a table or range of cells.</t>
    </r>
  </si>
  <si>
    <r>
      <t>Match</t>
    </r>
    <r>
      <rPr>
        <sz val="10"/>
        <color rgb="FF000000"/>
        <rFont val="Times New Roman"/>
        <charset val="204"/>
      </rPr>
      <t>: This function enables us to determine the numerical position of an element within a range.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</si>
</sst>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70C0"/>
      <name val="Times New Roman"/>
      <family val="1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0"/>
      <color rgb="FF000000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8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19" fillId="0" borderId="0" xfId="0" applyFont="1"/>
    <xf numFmtId="0" fontId="20" fillId="0" borderId="0" xfId="0" applyFont="1"/>
    <xf numFmtId="0" fontId="8" fillId="0" borderId="3" xfId="0" quotePrefix="1" applyFont="1" applyBorder="1"/>
    <xf numFmtId="0" fontId="2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00B050"/>
        </patternFill>
      </fill>
    </dxf>
    <dxf>
      <fill>
        <patternFill patternType="solid">
          <bgColor rgb="FFFF3300"/>
        </patternFill>
      </fill>
    </dxf>
    <dxf>
      <fill>
        <patternFill patternType="mediumGray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4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G1" zoomScaleNormal="100" workbookViewId="0">
      <selection activeCell="G12" sqref="G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5">
        <v>45162</v>
      </c>
    </row>
  </sheetData>
  <conditionalFormatting sqref="A1:A1048576">
    <cfRule type="duplicateValues" dxfId="6" priority="2"/>
  </conditionalFormatting>
  <conditionalFormatting sqref="B1:B1048576">
    <cfRule type="duplicateValues" dxfId="5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A483-0E36-40D1-A17A-B22903B86AE0}">
  <dimension ref="A1:Y41"/>
  <sheetViews>
    <sheetView topLeftCell="C1" zoomScale="83" workbookViewId="0">
      <pane ySplit="1" topLeftCell="A2" activePane="bottomLeft" state="frozen"/>
      <selection activeCell="C1" sqref="C1"/>
      <selection pane="bottomLeft" activeCell="Z12" sqref="Z12"/>
    </sheetView>
  </sheetViews>
  <sheetFormatPr defaultRowHeight="13.2" x14ac:dyDescent="0.25"/>
  <cols>
    <col min="24" max="24" width="10.33203125" bestFit="1" customWidth="1"/>
  </cols>
  <sheetData>
    <row r="1" spans="1:25" ht="14.4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  <c r="Y1" s="3"/>
    </row>
    <row r="2" spans="1:25" ht="14.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25"/>
    </row>
    <row r="3" spans="1:25" ht="14.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25"/>
    </row>
    <row r="4" spans="1:25" ht="14.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25"/>
    </row>
    <row r="5" spans="1:25" ht="14.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25"/>
    </row>
    <row r="6" spans="1:25" ht="14.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25"/>
    </row>
    <row r="7" spans="1:25" ht="14.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25"/>
    </row>
    <row r="8" spans="1:25" ht="14.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25"/>
    </row>
    <row r="9" spans="1:25" ht="14.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25"/>
    </row>
    <row r="10" spans="1:25" ht="14.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25"/>
    </row>
    <row r="11" spans="1:25" ht="14.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25"/>
    </row>
    <row r="12" spans="1:25" ht="14.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25"/>
    </row>
    <row r="13" spans="1:25" ht="14.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25"/>
    </row>
    <row r="14" spans="1:25" ht="14.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25"/>
    </row>
    <row r="15" spans="1:25" ht="14.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  <c r="Y15" s="25"/>
    </row>
    <row r="16" spans="1:25" ht="14.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  <c r="Y16" s="25"/>
    </row>
    <row r="17" spans="1:25" ht="14.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  <c r="Y17" s="25"/>
    </row>
    <row r="18" spans="1:25" ht="14.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  <c r="Y18" s="25"/>
    </row>
    <row r="19" spans="1:25" ht="14.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  <c r="Y19" s="25"/>
    </row>
    <row r="20" spans="1:25" ht="14.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  <c r="Y20" s="25"/>
    </row>
    <row r="21" spans="1:25" ht="14.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  <c r="Y21" s="25"/>
    </row>
    <row r="22" spans="1:25" ht="14.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  <c r="Y22" s="25"/>
    </row>
    <row r="23" spans="1:25" ht="14.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  <c r="Y23" s="25"/>
    </row>
    <row r="24" spans="1:25" ht="14.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  <c r="Y24" s="25"/>
    </row>
    <row r="25" spans="1:25" ht="14.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  <c r="Y25" s="25"/>
    </row>
    <row r="26" spans="1:25" ht="14.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  <c r="Y26" s="25"/>
    </row>
    <row r="27" spans="1:25" ht="14.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  <c r="Y27" s="25"/>
    </row>
    <row r="28" spans="1:25" ht="14.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  <c r="Y28" s="25"/>
    </row>
    <row r="29" spans="1:25" ht="14.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  <c r="Y29" s="25"/>
    </row>
    <row r="30" spans="1:25" ht="14.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  <c r="Y30" s="25"/>
    </row>
    <row r="31" spans="1:25" ht="14.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  <c r="Y31" s="25"/>
    </row>
    <row r="32" spans="1:25" ht="14.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  <c r="Y32" s="25"/>
    </row>
    <row r="33" spans="1:25" ht="14.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  <c r="Y33" s="25"/>
    </row>
    <row r="34" spans="1:25" ht="14.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  <c r="Y34" s="25"/>
    </row>
    <row r="35" spans="1:25" ht="14.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  <c r="Y35" s="25"/>
    </row>
    <row r="36" spans="1:25" ht="14.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  <c r="Y36" s="25"/>
    </row>
    <row r="37" spans="1:25" ht="14.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  <c r="Y37" s="25"/>
    </row>
    <row r="38" spans="1:25" ht="14.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  <c r="Y38" s="25"/>
    </row>
    <row r="39" spans="1:25" ht="14.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  <c r="Y39" s="25"/>
    </row>
    <row r="40" spans="1:25" ht="14.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  <c r="Y40" s="25"/>
    </row>
    <row r="41" spans="1:25" x14ac:dyDescent="0.25">
      <c r="H41" s="43">
        <f>SUMIF(H2:H40, "&gt;20")</f>
        <v>1473.0000000000002</v>
      </c>
    </row>
  </sheetData>
  <conditionalFormatting sqref="A1:A40">
    <cfRule type="duplicateValues" dxfId="4" priority="5"/>
  </conditionalFormatting>
  <conditionalFormatting sqref="B1:B40">
    <cfRule type="duplicateValues" dxfId="3" priority="4"/>
  </conditionalFormatting>
  <conditionalFormatting sqref="G1:W40">
    <cfRule type="cellIs" dxfId="2" priority="3" operator="equal">
      <formula>-1</formula>
    </cfRule>
    <cfRule type="cellIs" dxfId="1" priority="2" operator="equal">
      <formula>-1</formula>
    </cfRule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I30"/>
  <sheetViews>
    <sheetView zoomScaleNormal="100" workbookViewId="0">
      <selection activeCell="A13" sqref="A1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9" s="40" customFormat="1" ht="21" x14ac:dyDescent="0.4">
      <c r="A1" s="41" t="s">
        <v>55</v>
      </c>
      <c r="B1" s="40" t="s">
        <v>164</v>
      </c>
    </row>
    <row r="2" spans="1:9" s="40" customFormat="1" ht="21" x14ac:dyDescent="0.4">
      <c r="B2" s="40" t="s">
        <v>161</v>
      </c>
    </row>
    <row r="3" spans="1:9" ht="14.4" x14ac:dyDescent="0.3">
      <c r="A3" s="1"/>
      <c r="B3" s="1"/>
      <c r="C3" s="1"/>
      <c r="D3" s="1"/>
      <c r="E3" s="1"/>
      <c r="F3" s="1"/>
      <c r="G3" s="1"/>
    </row>
    <row r="4" spans="1:9" ht="23.4" x14ac:dyDescent="0.45">
      <c r="A4" s="16" t="s">
        <v>162</v>
      </c>
      <c r="B4" s="1"/>
      <c r="C4" s="1"/>
      <c r="D4" s="1"/>
      <c r="E4" s="1"/>
      <c r="F4" s="1"/>
      <c r="G4" s="1"/>
    </row>
    <row r="5" spans="1:9" ht="18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H5" s="47" t="s">
        <v>153</v>
      </c>
      <c r="I5" s="2" t="s">
        <v>195</v>
      </c>
    </row>
    <row r="6" spans="1:9" ht="14.4" x14ac:dyDescent="0.3">
      <c r="A6" s="7" t="s">
        <v>40</v>
      </c>
      <c r="B6" s="11">
        <f>VLOOKUP($A6, Dataset!$A$1:$W$1000, 7, 0)</f>
        <v>2.7</v>
      </c>
      <c r="C6" s="11">
        <f>VLOOKUP($A6, Dataset!$A$1:$W$1000, 14, 0)</f>
        <v>7.6</v>
      </c>
      <c r="D6" s="11">
        <f>VLOOKUP($A6, Dataset!$A$1:$W$1000, 18, 0)</f>
        <v>4.2</v>
      </c>
      <c r="E6" s="11">
        <f>VLOOKUP($A6, Dataset!$A$1:$W$1000, 20, 0)</f>
        <v>8.9</v>
      </c>
      <c r="F6" s="11">
        <f>VLOOKUP($A6, Dataset!$A$1:$W$1000, 22, 0)</f>
        <v>4.2</v>
      </c>
      <c r="I6" s="2" t="s">
        <v>196</v>
      </c>
    </row>
    <row r="7" spans="1:9" ht="14.4" x14ac:dyDescent="0.3">
      <c r="A7" s="7" t="s">
        <v>4</v>
      </c>
      <c r="B7" s="11">
        <f>VLOOKUP($A7, Dataset!$A$1:$W$1000, 7, 0)</f>
        <v>2.7</v>
      </c>
      <c r="C7" s="11">
        <f>VLOOKUP($A7, Dataset!$A$1:$W$1000, 14, 0)</f>
        <v>7.6</v>
      </c>
      <c r="D7" s="11">
        <f>VLOOKUP($A7, Dataset!$A$1:$W$1000, 18, 0)</f>
        <v>4.2</v>
      </c>
      <c r="E7" s="11">
        <f>VLOOKUP($A7, Dataset!$A$1:$W$1000, 20, 0)</f>
        <v>8.9</v>
      </c>
      <c r="F7" s="11">
        <f>VLOOKUP($A7, Dataset!$A$1:$W$1000, 22, 0)</f>
        <v>4.2</v>
      </c>
    </row>
    <row r="8" spans="1:9" ht="14.4" x14ac:dyDescent="0.3">
      <c r="A8" s="7" t="s">
        <v>7</v>
      </c>
      <c r="B8" s="11">
        <f>VLOOKUP($A8, Dataset!$A$1:$W$1000, 7, 0)</f>
        <v>3.6</v>
      </c>
      <c r="C8" s="11">
        <f>VLOOKUP($A8, Dataset!$A$1:$W$1000, 14, 0)</f>
        <v>11.1</v>
      </c>
      <c r="D8" s="11">
        <f>VLOOKUP($A8, Dataset!$A$1:$W$1000, 18, 0)</f>
        <v>5.8</v>
      </c>
      <c r="E8" s="11">
        <f>VLOOKUP($A8, Dataset!$A$1:$W$1000, 20, 0)</f>
        <v>12.2</v>
      </c>
      <c r="F8" s="11">
        <f>VLOOKUP($A8, Dataset!$A$1:$W$1000, 22, 0)</f>
        <v>5.8</v>
      </c>
    </row>
    <row r="9" spans="1:9" ht="14.4" x14ac:dyDescent="0.3">
      <c r="A9" s="7" t="s">
        <v>8</v>
      </c>
      <c r="B9" s="11">
        <f>VLOOKUP($A9, Dataset!$A$1:$W$1000, 7, 0)</f>
        <v>4.9000000000000004</v>
      </c>
      <c r="C9" s="11">
        <f>VLOOKUP($A9, Dataset!$A$1:$W$1000, 14, 0)</f>
        <v>13.3</v>
      </c>
      <c r="D9" s="11">
        <f>VLOOKUP($A9, Dataset!$A$1:$W$1000, 18, 0)</f>
        <v>8.1</v>
      </c>
      <c r="E9" s="11">
        <f>VLOOKUP($A9, Dataset!$A$1:$W$1000, 20, 0)</f>
        <v>17</v>
      </c>
      <c r="F9" s="11">
        <f>VLOOKUP($A9, Dataset!$A$1:$W$1000, 22, 0)</f>
        <v>8.1</v>
      </c>
    </row>
    <row r="10" spans="1:9" ht="14.4" x14ac:dyDescent="0.3">
      <c r="A10" s="7" t="s">
        <v>11</v>
      </c>
      <c r="B10" s="11">
        <f>VLOOKUP($A10, Dataset!$A$1:$W$1000, 7, 0)</f>
        <v>9.4</v>
      </c>
      <c r="C10" s="11">
        <f>VLOOKUP($A10, Dataset!$A$1:$W$1000, 14, 0)</f>
        <v>28.3</v>
      </c>
      <c r="D10" s="11">
        <f>VLOOKUP($A10, Dataset!$A$1:$W$1000, 18, 0)</f>
        <v>16.100000000000001</v>
      </c>
      <c r="E10" s="11">
        <f>VLOOKUP($A10, Dataset!$A$1:$W$1000, 20, 0)</f>
        <v>32.799999999999997</v>
      </c>
      <c r="F10" s="11">
        <f>VLOOKUP($A10, Dataset!$A$1:$W$1000, 22, 0)</f>
        <v>16.100000000000001</v>
      </c>
    </row>
    <row r="11" spans="1:9" ht="14.4" x14ac:dyDescent="0.3">
      <c r="A11" s="7" t="s">
        <v>12</v>
      </c>
      <c r="B11" s="11">
        <f>VLOOKUP($A11, Dataset!$A$1:$W$1000, 7, 0)</f>
        <v>11.6</v>
      </c>
      <c r="C11" s="11">
        <f>VLOOKUP($A11, Dataset!$A$1:$W$1000, 14, 0)</f>
        <v>35.200000000000003</v>
      </c>
      <c r="D11" s="11">
        <f>VLOOKUP($A11, Dataset!$A$1:$W$1000, 18, 0)</f>
        <v>21.3</v>
      </c>
      <c r="E11" s="11">
        <f>VLOOKUP($A11, Dataset!$A$1:$W$1000, 20, 0)</f>
        <v>43</v>
      </c>
      <c r="F11" s="11">
        <f>VLOOKUP($A11, Dataset!$A$1:$W$1000, 22, 0)</f>
        <v>21.3</v>
      </c>
    </row>
    <row r="12" spans="1:9" ht="14.4" x14ac:dyDescent="0.3">
      <c r="A12" s="7" t="s">
        <v>14</v>
      </c>
      <c r="B12" s="11">
        <f>VLOOKUP($A12, Dataset!$A$1:$W$1000, 7, 0)</f>
        <v>18.399999999999999</v>
      </c>
      <c r="C12" s="11">
        <f>VLOOKUP($A12, Dataset!$A$1:$W$1000, 14, 0)</f>
        <v>55.6</v>
      </c>
      <c r="D12" s="11">
        <f>VLOOKUP($A12, Dataset!$A$1:$W$1000, 18, 0)</f>
        <v>33.799999999999997</v>
      </c>
      <c r="E12" s="11">
        <f>VLOOKUP($A12, Dataset!$A$1:$W$1000, 20, 0)</f>
        <v>67.900000000000006</v>
      </c>
      <c r="F12" s="11">
        <f>VLOOKUP($A12, Dataset!$A$1:$W$1000, 22, 0)</f>
        <v>33.799999999999997</v>
      </c>
    </row>
    <row r="13" spans="1:9" ht="14.4" x14ac:dyDescent="0.3">
      <c r="A13" s="7" t="s">
        <v>15</v>
      </c>
      <c r="B13" s="11">
        <f>VLOOKUP($A13, Dataset!$A$1:$W$1000, 7, 0)</f>
        <v>0</v>
      </c>
      <c r="C13" s="11">
        <f>VLOOKUP($A13, Dataset!$A$1:$W$1000, 14, 0)</f>
        <v>0</v>
      </c>
      <c r="D13" s="11">
        <f>VLOOKUP($A13, Dataset!$A$1:$W$1000, 18, 0)</f>
        <v>0</v>
      </c>
      <c r="E13" s="11">
        <f>VLOOKUP($A13, Dataset!$A$1:$W$1000, 20, 0)</f>
        <v>0</v>
      </c>
      <c r="F13" s="11">
        <f>VLOOKUP($A13, Dataset!$A$1:$W$1000, 22, 0)</f>
        <v>0</v>
      </c>
    </row>
    <row r="14" spans="1:9" ht="14.4" x14ac:dyDescent="0.3">
      <c r="A14" s="7" t="s">
        <v>16</v>
      </c>
      <c r="B14" s="11">
        <f>VLOOKUP($A14, Dataset!$A$1:$W$1000, 7, 0)</f>
        <v>21.9</v>
      </c>
      <c r="C14" s="11">
        <f>VLOOKUP($A14, Dataset!$A$1:$W$1000, 14, 0)</f>
        <v>61.5</v>
      </c>
      <c r="D14" s="11">
        <f>VLOOKUP($A14, Dataset!$A$1:$W$1000, 18, 0)</f>
        <v>40.1</v>
      </c>
      <c r="E14" s="11">
        <f>VLOOKUP($A14, Dataset!$A$1:$W$1000, 20, 0)</f>
        <v>76.599999999999994</v>
      </c>
      <c r="F14" s="11">
        <f>VLOOKUP($A14, Dataset!$A$1:$W$1000, 22, 0)</f>
        <v>40.1</v>
      </c>
    </row>
    <row r="15" spans="1:9" ht="14.4" x14ac:dyDescent="0.3">
      <c r="A15" s="7" t="s">
        <v>18</v>
      </c>
      <c r="B15" s="11">
        <f>VLOOKUP($A15, Dataset!$A$1:$W$1000, 7, 0)</f>
        <v>26.8</v>
      </c>
      <c r="C15" s="11">
        <f>VLOOKUP($A15, Dataset!$A$1:$W$1000, 14, 0)</f>
        <v>79.599999999999994</v>
      </c>
      <c r="D15" s="11">
        <f>VLOOKUP($A15, Dataset!$A$1:$W$1000, 18, 0)</f>
        <v>47.9</v>
      </c>
      <c r="E15" s="11">
        <f>VLOOKUP($A15, Dataset!$A$1:$W$1000, 20, 0)</f>
        <v>96.8</v>
      </c>
      <c r="F15" s="11">
        <f>VLOOKUP($A15, Dataset!$A$1:$W$1000, 22, 0)</f>
        <v>47.9</v>
      </c>
    </row>
    <row r="16" spans="1:9" ht="14.4" x14ac:dyDescent="0.3">
      <c r="A16" s="7" t="s">
        <v>20</v>
      </c>
      <c r="B16" s="11">
        <f>VLOOKUP($A16, Dataset!$A$1:$W$1000, 7, 0)</f>
        <v>28.5</v>
      </c>
      <c r="C16" s="11">
        <f>VLOOKUP($A16, Dataset!$A$1:$W$1000, 14, 0)</f>
        <v>85.4</v>
      </c>
      <c r="D16" s="11">
        <f>VLOOKUP($A16, Dataset!$A$1:$W$1000, 18, 0)</f>
        <v>52.3</v>
      </c>
      <c r="E16" s="11">
        <f>VLOOKUP($A16, Dataset!$A$1:$W$1000, 20, 0)</f>
        <v>106.1</v>
      </c>
      <c r="F16" s="11">
        <f>VLOOKUP($A16, Dataset!$A$1:$W$1000, 22, 0)</f>
        <v>52.3</v>
      </c>
    </row>
    <row r="17" spans="1:6" ht="14.4" x14ac:dyDescent="0.3">
      <c r="A17" s="7" t="s">
        <v>22</v>
      </c>
      <c r="B17" s="11">
        <f>VLOOKUP($A17, Dataset!$A$1:$W$1000, 7, 0)</f>
        <v>30.7</v>
      </c>
      <c r="C17" s="11">
        <f>VLOOKUP($A17, Dataset!$A$1:$W$1000, 14, 0)</f>
        <v>92.1</v>
      </c>
      <c r="D17" s="11">
        <f>VLOOKUP($A17, Dataset!$A$1:$W$1000, 18, 0)</f>
        <v>57</v>
      </c>
      <c r="E17" s="11">
        <f>VLOOKUP($A17, Dataset!$A$1:$W$1000, 20, 0)</f>
        <v>115.1</v>
      </c>
      <c r="F17" s="11">
        <f>VLOOKUP($A17, Dataset!$A$1:$W$1000, 22, 0)</f>
        <v>57</v>
      </c>
    </row>
    <row r="18" spans="1:6" ht="14.4" x14ac:dyDescent="0.3">
      <c r="A18" s="7" t="s">
        <v>23</v>
      </c>
      <c r="B18" s="11">
        <f>VLOOKUP($A18, Dataset!$A$1:$W$1000, 7, 0)</f>
        <v>33.799999999999997</v>
      </c>
      <c r="C18" s="11">
        <f>VLOOKUP($A18, Dataset!$A$1:$W$1000, 14, 0)</f>
        <v>101.3</v>
      </c>
      <c r="D18" s="11">
        <f>VLOOKUP($A18, Dataset!$A$1:$W$1000, 18, 0)</f>
        <v>61.4</v>
      </c>
      <c r="E18" s="11">
        <f>VLOOKUP($A18, Dataset!$A$1:$W$1000, 20, 0)</f>
        <v>124.4</v>
      </c>
      <c r="F18" s="11">
        <f>VLOOKUP($A18, Dataset!$A$1:$W$1000, 22, 0)</f>
        <v>61.4</v>
      </c>
    </row>
    <row r="19" spans="1:6" ht="14.4" x14ac:dyDescent="0.3">
      <c r="A19" s="7" t="s">
        <v>24</v>
      </c>
      <c r="B19" s="11">
        <f>VLOOKUP($A19, Dataset!$A$1:$W$1000, 7, 0)</f>
        <v>34.700000000000003</v>
      </c>
      <c r="C19" s="11">
        <f>VLOOKUP($A19, Dataset!$A$1:$W$1000, 14, 0)</f>
        <v>106.1</v>
      </c>
      <c r="D19" s="11">
        <f>VLOOKUP($A19, Dataset!$A$1:$W$1000, 18, 0)</f>
        <v>63.6</v>
      </c>
      <c r="E19" s="11">
        <f>VLOOKUP($A19, Dataset!$A$1:$W$1000, 20, 0)</f>
        <v>128.6</v>
      </c>
      <c r="F19" s="11">
        <f>VLOOKUP($A19, Dataset!$A$1:$W$1000, 22, 0)</f>
        <v>63.6</v>
      </c>
    </row>
    <row r="20" spans="1:6" ht="14.4" x14ac:dyDescent="0.3">
      <c r="A20" s="7" t="s">
        <v>28</v>
      </c>
      <c r="B20" s="11">
        <f>VLOOKUP($A20, Dataset!$A$1:$W$1000, 7, 0)</f>
        <v>0</v>
      </c>
      <c r="C20" s="11">
        <f>VLOOKUP($A20, Dataset!$A$1:$W$1000, 14, 0)</f>
        <v>0</v>
      </c>
      <c r="D20" s="11">
        <f>VLOOKUP($A20, Dataset!$A$1:$W$1000, 18, 0)</f>
        <v>0</v>
      </c>
      <c r="E20" s="11">
        <f>VLOOKUP($A20, Dataset!$A$1:$W$1000, 20, 0)</f>
        <v>0</v>
      </c>
      <c r="F20" s="11">
        <f>VLOOKUP($A20, Dataset!$A$1:$W$1000, 22, 0)</f>
        <v>0</v>
      </c>
    </row>
    <row r="21" spans="1:6" ht="14.4" x14ac:dyDescent="0.3">
      <c r="A21" s="7" t="s">
        <v>57</v>
      </c>
      <c r="B21" s="11">
        <f>VLOOKUP($A21, Dataset!$A$1:$W$1000, 7, 0)</f>
        <v>41.3</v>
      </c>
      <c r="C21" s="11">
        <f>VLOOKUP($A21, Dataset!$A$1:$W$1000, 14, 0)</f>
        <v>124.4</v>
      </c>
      <c r="D21" s="11">
        <f>VLOOKUP($A21, Dataset!$A$1:$W$1000, 18, 0)</f>
        <v>75</v>
      </c>
      <c r="E21" s="11">
        <f>VLOOKUP($A21, Dataset!$A$1:$W$1000, 20, 0)</f>
        <v>151.5</v>
      </c>
      <c r="F21" s="11">
        <f>VLOOKUP($A21, Dataset!$A$1:$W$1000, 22, 0)</f>
        <v>75</v>
      </c>
    </row>
    <row r="22" spans="1:6" ht="14.4" x14ac:dyDescent="0.3">
      <c r="A22" s="7" t="s">
        <v>58</v>
      </c>
      <c r="B22" s="11">
        <f>VLOOKUP($A22, Dataset!$A$1:$W$1000, 7, 0)</f>
        <v>-1</v>
      </c>
      <c r="C22" s="11">
        <f>VLOOKUP($A22, Dataset!$A$1:$W$1000, 14, 0)</f>
        <v>-1</v>
      </c>
      <c r="D22" s="11">
        <f>VLOOKUP($A22, Dataset!$A$1:$W$1000, 18, 0)</f>
        <v>-1</v>
      </c>
      <c r="E22" s="11">
        <f>VLOOKUP($A22, Dataset!$A$1:$W$1000, 20, 0)</f>
        <v>-1</v>
      </c>
      <c r="F22" s="11">
        <f>VLOOKUP($A22, Dataset!$A$1:$W$1000, 22, 0)</f>
        <v>-1</v>
      </c>
    </row>
    <row r="23" spans="1:6" ht="14.4" x14ac:dyDescent="0.3">
      <c r="A23" s="7" t="s">
        <v>31</v>
      </c>
      <c r="B23" s="11">
        <f>VLOOKUP($A23, Dataset!$A$1:$W$1000, 7, 0)</f>
        <v>45</v>
      </c>
      <c r="C23" s="11">
        <f>VLOOKUP($A23, Dataset!$A$1:$W$1000, 14, 0)</f>
        <v>133.4</v>
      </c>
      <c r="D23" s="11">
        <f>VLOOKUP($A23, Dataset!$A$1:$W$1000, 18, 0)</f>
        <v>79.400000000000006</v>
      </c>
      <c r="E23" s="11">
        <f>VLOOKUP($A23, Dataset!$A$1:$W$1000, 20, 0)</f>
        <v>160.9</v>
      </c>
      <c r="F23" s="11">
        <f>VLOOKUP($A23, Dataset!$A$1:$W$1000, 22, 0)</f>
        <v>79.400000000000006</v>
      </c>
    </row>
    <row r="24" spans="1:6" ht="14.4" x14ac:dyDescent="0.3">
      <c r="A24" s="7" t="s">
        <v>32</v>
      </c>
      <c r="B24" s="11">
        <f>VLOOKUP($A24, Dataset!$A$1:$W$1000, 7, 0)</f>
        <v>-1</v>
      </c>
      <c r="C24" s="11">
        <f>VLOOKUP($A24, Dataset!$A$1:$W$1000, 14, 0)</f>
        <v>-1</v>
      </c>
      <c r="D24" s="11">
        <f>VLOOKUP($A24, Dataset!$A$1:$W$1000, 18, 0)</f>
        <v>-1</v>
      </c>
      <c r="E24" s="11">
        <f>VLOOKUP($A24, Dataset!$A$1:$W$1000, 20, 0)</f>
        <v>-1</v>
      </c>
      <c r="F24" s="11">
        <f>VLOOKUP($A24, Dataset!$A$1:$W$1000, 22, 0)</f>
        <v>-1</v>
      </c>
    </row>
    <row r="25" spans="1:6" ht="14.4" x14ac:dyDescent="0.3">
      <c r="A25" s="7" t="s">
        <v>34</v>
      </c>
      <c r="B25" s="11">
        <f>VLOOKUP($A25, Dataset!$A$1:$W$1000, 7, 0)</f>
        <v>43.3</v>
      </c>
      <c r="C25" s="11">
        <f>VLOOKUP($A25, Dataset!$A$1:$W$1000, 14, 0)</f>
        <v>128.6</v>
      </c>
      <c r="D25" s="11">
        <f>VLOOKUP($A25, Dataset!$A$1:$W$1000, 18, 0)</f>
        <v>79.400000000000006</v>
      </c>
      <c r="E25" s="11">
        <f>VLOOKUP($A25, Dataset!$A$1:$W$1000, 20, 0)</f>
        <v>160.9</v>
      </c>
      <c r="F25" s="11">
        <f>VLOOKUP($A25, Dataset!$A$1:$W$1000, 22, 0)</f>
        <v>79.400000000000006</v>
      </c>
    </row>
    <row r="26" spans="1:6" ht="14.4" x14ac:dyDescent="0.3">
      <c r="A26" s="7" t="s">
        <v>37</v>
      </c>
      <c r="B26" s="11">
        <f>VLOOKUP($A26, Dataset!$A$1:$W$1000, 7, 0)</f>
        <v>49.1</v>
      </c>
      <c r="C26" s="11">
        <f>VLOOKUP($A26, Dataset!$A$1:$W$1000, 14, 0)</f>
        <v>146.80000000000001</v>
      </c>
      <c r="D26" s="11">
        <f>VLOOKUP($A26, Dataset!$A$1:$W$1000, 18, 0)</f>
        <v>90.9</v>
      </c>
      <c r="E26" s="11">
        <f>VLOOKUP($A26, Dataset!$A$1:$W$1000, 20, 0)</f>
        <v>183.5</v>
      </c>
      <c r="F26" s="11">
        <f>VLOOKUP($A26, Dataset!$A$1:$W$1000, 22, 0)</f>
        <v>90.9</v>
      </c>
    </row>
    <row r="27" spans="1:6" ht="14.4" x14ac:dyDescent="0.3">
      <c r="A27" s="7" t="s">
        <v>39</v>
      </c>
      <c r="B27" s="11">
        <f>VLOOKUP($A27, Dataset!$A$1:$W$1000, 7, 0)</f>
        <v>51.8</v>
      </c>
      <c r="C27" s="11">
        <f>VLOOKUP($A27, Dataset!$A$1:$W$1000, 14, 0)</f>
        <v>156.4</v>
      </c>
      <c r="D27" s="11">
        <f>VLOOKUP($A27, Dataset!$A$1:$W$1000, 18, 0)</f>
        <v>93.1</v>
      </c>
      <c r="E27" s="11">
        <f>VLOOKUP($A27, Dataset!$A$1:$W$1000, 20, 0)</f>
        <v>188.1</v>
      </c>
      <c r="F27" s="11">
        <f>VLOOKUP($A27, Dataset!$A$1:$W$1000, 22, 0)</f>
        <v>93.1</v>
      </c>
    </row>
    <row r="28" spans="1:6" ht="14.4" x14ac:dyDescent="0.3">
      <c r="A28" s="17" t="s">
        <v>82</v>
      </c>
      <c r="B28" s="30">
        <f>MIN(B6:B27)</f>
        <v>-1</v>
      </c>
      <c r="C28" s="30">
        <f>MIN(C6:C27)</f>
        <v>-1</v>
      </c>
      <c r="D28" s="30">
        <f>MIN(C6:D27)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7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7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63"/>
  <sheetViews>
    <sheetView topLeftCell="A34" zoomScaleNormal="100" workbookViewId="0">
      <selection activeCell="A57" sqref="A5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/>
      <c r="B5" s="39"/>
    </row>
    <row r="6" spans="1:10" ht="18" x14ac:dyDescent="0.35">
      <c r="A6" s="42"/>
      <c r="B6" s="39"/>
    </row>
    <row r="7" spans="1:10" ht="18" x14ac:dyDescent="0.35">
      <c r="A7" s="42"/>
      <c r="B7" s="39"/>
    </row>
    <row r="9" spans="1:10" ht="23.4" x14ac:dyDescent="0.45">
      <c r="A9" s="16" t="s">
        <v>165</v>
      </c>
      <c r="I9" s="2"/>
      <c r="J9" s="2"/>
    </row>
    <row r="10" spans="1:10" x14ac:dyDescent="0.3">
      <c r="A10" s="32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3" t="s">
        <v>103</v>
      </c>
      <c r="B15" s="15" t="s">
        <v>49</v>
      </c>
      <c r="C15" s="15" t="s">
        <v>50</v>
      </c>
      <c r="D15" s="15" t="s">
        <v>51</v>
      </c>
      <c r="E15" s="15" t="s">
        <v>52</v>
      </c>
      <c r="F15" s="15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  <row r="57" spans="1:6" ht="18" x14ac:dyDescent="0.35">
      <c r="A57" s="47" t="s">
        <v>153</v>
      </c>
      <c r="B57" s="46" t="s">
        <v>178</v>
      </c>
    </row>
    <row r="58" spans="1:6" x14ac:dyDescent="0.3">
      <c r="B58" s="46" t="s">
        <v>179</v>
      </c>
    </row>
    <row r="59" spans="1:6" x14ac:dyDescent="0.3">
      <c r="B59" s="46" t="s">
        <v>180</v>
      </c>
    </row>
    <row r="60" spans="1:6" x14ac:dyDescent="0.3">
      <c r="B60" s="46" t="s">
        <v>181</v>
      </c>
    </row>
    <row r="61" spans="1:6" x14ac:dyDescent="0.3">
      <c r="B61" s="46" t="s">
        <v>182</v>
      </c>
    </row>
    <row r="62" spans="1:6" x14ac:dyDescent="0.3">
      <c r="B62" s="46" t="s">
        <v>183</v>
      </c>
    </row>
    <row r="63" spans="1:6" x14ac:dyDescent="0.3">
      <c r="B63" s="46" t="s">
        <v>184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34"/>
  <sheetViews>
    <sheetView topLeftCell="A10" zoomScaleNormal="100" workbookViewId="0">
      <selection activeCell="A27" sqref="A2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/>
      <c r="B6" s="1"/>
    </row>
    <row r="7" spans="1:3" ht="14.4" x14ac:dyDescent="0.3">
      <c r="A7" s="3"/>
      <c r="B7" s="1"/>
    </row>
    <row r="10" spans="1:3" ht="23.4" x14ac:dyDescent="0.45">
      <c r="A10" s="16" t="s">
        <v>162</v>
      </c>
    </row>
    <row r="11" spans="1:3" ht="14.4" x14ac:dyDescent="0.3">
      <c r="A11" s="31" t="s">
        <v>86</v>
      </c>
      <c r="B11" s="15" t="s">
        <v>87</v>
      </c>
      <c r="C11" s="15" t="s">
        <v>88</v>
      </c>
    </row>
    <row r="12" spans="1:3" ht="14.4" x14ac:dyDescent="0.3">
      <c r="A12" s="31">
        <v>44927</v>
      </c>
      <c r="B12" s="15" t="s">
        <v>59</v>
      </c>
      <c r="C12" s="15">
        <v>200</v>
      </c>
    </row>
    <row r="13" spans="1:3" ht="14.4" x14ac:dyDescent="0.3">
      <c r="A13" s="31">
        <v>44928</v>
      </c>
      <c r="B13" s="15" t="s">
        <v>60</v>
      </c>
      <c r="C13" s="15">
        <v>20</v>
      </c>
    </row>
    <row r="14" spans="1:3" ht="14.4" x14ac:dyDescent="0.3">
      <c r="A14" s="31">
        <v>44929</v>
      </c>
      <c r="B14" s="15" t="s">
        <v>61</v>
      </c>
      <c r="C14" s="15">
        <v>50</v>
      </c>
    </row>
    <row r="15" spans="1:3" ht="14.4" x14ac:dyDescent="0.3">
      <c r="A15" s="31">
        <v>44930</v>
      </c>
      <c r="B15" s="15" t="s">
        <v>62</v>
      </c>
      <c r="C15" s="15">
        <v>20</v>
      </c>
    </row>
    <row r="16" spans="1:3" ht="14.4" x14ac:dyDescent="0.3">
      <c r="A16" s="31">
        <v>44931</v>
      </c>
      <c r="B16" s="15" t="s">
        <v>63</v>
      </c>
      <c r="C16" s="15">
        <v>10</v>
      </c>
    </row>
    <row r="17" spans="1:4" ht="14.4" x14ac:dyDescent="0.3">
      <c r="A17" s="31">
        <v>44932</v>
      </c>
      <c r="B17" s="15" t="s">
        <v>154</v>
      </c>
      <c r="C17" s="15">
        <v>150</v>
      </c>
    </row>
    <row r="18" spans="1:4" ht="14.4" x14ac:dyDescent="0.3">
      <c r="A18" s="31">
        <v>44933</v>
      </c>
      <c r="B18" s="15" t="s">
        <v>155</v>
      </c>
      <c r="C18" s="15">
        <v>80</v>
      </c>
    </row>
    <row r="19" spans="1:4" ht="14.4" x14ac:dyDescent="0.3">
      <c r="A19" s="31">
        <v>44934</v>
      </c>
      <c r="B19" s="15" t="s">
        <v>156</v>
      </c>
      <c r="C19" s="15">
        <v>20</v>
      </c>
    </row>
    <row r="20" spans="1:4" ht="14.4" x14ac:dyDescent="0.3">
      <c r="A20" s="31">
        <v>44935</v>
      </c>
      <c r="B20" s="15" t="s">
        <v>157</v>
      </c>
      <c r="C20" s="15">
        <v>30</v>
      </c>
    </row>
    <row r="21" spans="1:4" ht="14.4" x14ac:dyDescent="0.3">
      <c r="A21" s="31">
        <v>44936</v>
      </c>
      <c r="B21" s="15" t="s">
        <v>158</v>
      </c>
      <c r="C21" s="15">
        <v>20</v>
      </c>
    </row>
    <row r="22" spans="1:4" ht="14.4" x14ac:dyDescent="0.3">
      <c r="B22" s="15" t="s">
        <v>159</v>
      </c>
      <c r="C22" s="23">
        <f>SUM(C12:C21)</f>
        <v>600</v>
      </c>
    </row>
    <row r="27" spans="1:4" ht="18" x14ac:dyDescent="0.35">
      <c r="A27" s="47" t="s">
        <v>153</v>
      </c>
      <c r="B27" s="48" t="s">
        <v>185</v>
      </c>
      <c r="D27" s="2" t="s">
        <v>187</v>
      </c>
    </row>
    <row r="28" spans="1:4" x14ac:dyDescent="0.3">
      <c r="D28" s="2" t="s">
        <v>186</v>
      </c>
    </row>
    <row r="29" spans="1:4" x14ac:dyDescent="0.3">
      <c r="D29" s="2" t="s">
        <v>188</v>
      </c>
    </row>
    <row r="30" spans="1:4" x14ac:dyDescent="0.3">
      <c r="D30" s="2" t="s">
        <v>189</v>
      </c>
    </row>
    <row r="31" spans="1:4" x14ac:dyDescent="0.3">
      <c r="D31" s="2" t="s">
        <v>190</v>
      </c>
    </row>
    <row r="32" spans="1:4" ht="15.6" x14ac:dyDescent="0.3">
      <c r="B32" s="48" t="s">
        <v>191</v>
      </c>
      <c r="D32" s="2" t="s">
        <v>192</v>
      </c>
    </row>
    <row r="33" spans="4:4" x14ac:dyDescent="0.3">
      <c r="D33" s="2" t="s">
        <v>193</v>
      </c>
    </row>
    <row r="34" spans="4:4" x14ac:dyDescent="0.3">
      <c r="D34" s="2" t="s">
        <v>194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1" zoomScaleNormal="100" workbookViewId="0">
      <selection activeCell="K29" sqref="K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/>
      <c r="B4" s="1"/>
    </row>
    <row r="5" spans="1:14" ht="18" x14ac:dyDescent="0.35">
      <c r="A5" s="42"/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 x14ac:dyDescent="0.45">
      <c r="A21" s="16" t="s">
        <v>168</v>
      </c>
    </row>
    <row r="22" spans="1:14" ht="18" x14ac:dyDescent="0.35">
      <c r="A22" s="13" t="s">
        <v>100</v>
      </c>
      <c r="B22" s="15" t="s">
        <v>101</v>
      </c>
      <c r="C22" s="14" t="s">
        <v>102</v>
      </c>
      <c r="H22" s="42" t="s">
        <v>53</v>
      </c>
      <c r="K22" s="2" t="s">
        <v>197</v>
      </c>
    </row>
    <row r="23" spans="1:14" ht="18" x14ac:dyDescent="0.35">
      <c r="A23" s="7">
        <v>10100</v>
      </c>
      <c r="B23" s="11">
        <v>10102</v>
      </c>
      <c r="C23" s="49">
        <f>INDEX($A$9:$J$18, MATCH(A23, $M$9:$M$18, 0), MATCH(B23, $M$9:$M$18, 0))</f>
        <v>95</v>
      </c>
      <c r="H23" s="47" t="s">
        <v>153</v>
      </c>
      <c r="J23" s="50" t="s">
        <v>198</v>
      </c>
    </row>
    <row r="24" spans="1:14" ht="14.4" x14ac:dyDescent="0.3">
      <c r="A24" s="7">
        <v>10100</v>
      </c>
      <c r="B24" s="11">
        <v>10104</v>
      </c>
      <c r="C24" s="49">
        <f t="shared" ref="C24:C35" si="0">INDEX($A$9:$J$18, MATCH(A24, $M$9:$M$18, 0), MATCH(B24, $M$9:$M$18, 0))</f>
        <v>-1</v>
      </c>
      <c r="J24" s="50" t="s">
        <v>199</v>
      </c>
    </row>
    <row r="25" spans="1:14" ht="14.4" x14ac:dyDescent="0.3">
      <c r="A25" s="7">
        <v>10108</v>
      </c>
      <c r="B25" s="11">
        <v>10102</v>
      </c>
      <c r="C25" s="49">
        <f t="shared" si="0"/>
        <v>160</v>
      </c>
    </row>
    <row r="26" spans="1:14" ht="14.4" x14ac:dyDescent="0.3">
      <c r="A26" s="7">
        <v>10100</v>
      </c>
      <c r="B26" s="11">
        <v>10106</v>
      </c>
      <c r="C26" s="49">
        <f t="shared" si="0"/>
        <v>185</v>
      </c>
    </row>
    <row r="27" spans="1:14" ht="14.4" x14ac:dyDescent="0.3">
      <c r="A27" s="7">
        <v>10108</v>
      </c>
      <c r="B27" s="11">
        <v>10110</v>
      </c>
      <c r="C27" s="49">
        <f t="shared" si="0"/>
        <v>50</v>
      </c>
    </row>
    <row r="28" spans="1:14" ht="14.4" x14ac:dyDescent="0.3">
      <c r="A28" s="7">
        <v>10102</v>
      </c>
      <c r="B28" s="11">
        <v>10104</v>
      </c>
      <c r="C28" s="49">
        <f t="shared" si="0"/>
        <v>-1</v>
      </c>
    </row>
    <row r="29" spans="1:14" ht="14.4" x14ac:dyDescent="0.3">
      <c r="A29" s="7">
        <v>10106</v>
      </c>
      <c r="B29" s="11">
        <v>10108</v>
      </c>
      <c r="C29" s="49">
        <f t="shared" si="0"/>
        <v>70</v>
      </c>
    </row>
    <row r="30" spans="1:14" ht="14.4" x14ac:dyDescent="0.3">
      <c r="A30" s="7">
        <v>10102</v>
      </c>
      <c r="B30" s="11">
        <v>10106</v>
      </c>
      <c r="C30" s="49">
        <f t="shared" si="0"/>
        <v>90</v>
      </c>
    </row>
    <row r="31" spans="1:14" ht="14.4" x14ac:dyDescent="0.3">
      <c r="A31" s="7">
        <v>10110</v>
      </c>
      <c r="B31" s="11">
        <v>10114</v>
      </c>
      <c r="C31" s="49">
        <f t="shared" si="0"/>
        <v>180</v>
      </c>
    </row>
    <row r="32" spans="1:14" ht="14.4" x14ac:dyDescent="0.3">
      <c r="A32" s="7">
        <v>10104</v>
      </c>
      <c r="B32" s="11">
        <v>10106</v>
      </c>
      <c r="C32" s="49">
        <f t="shared" si="0"/>
        <v>60</v>
      </c>
    </row>
    <row r="33" spans="1:3" ht="14.4" x14ac:dyDescent="0.3">
      <c r="A33" s="7">
        <v>10110</v>
      </c>
      <c r="B33" s="11">
        <v>10112</v>
      </c>
      <c r="C33" s="49">
        <f t="shared" si="0"/>
        <v>115</v>
      </c>
    </row>
    <row r="34" spans="1:3" ht="14.4" x14ac:dyDescent="0.3">
      <c r="A34" s="7">
        <v>10100</v>
      </c>
      <c r="B34" s="11">
        <v>10114</v>
      </c>
      <c r="C34" s="49">
        <f t="shared" si="0"/>
        <v>480</v>
      </c>
    </row>
    <row r="35" spans="1:3" ht="14.4" x14ac:dyDescent="0.3">
      <c r="A35" s="8">
        <v>10112</v>
      </c>
      <c r="B35" s="12">
        <v>10116</v>
      </c>
      <c r="C35" s="4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Task_1_Solution</vt:lpstr>
      <vt:lpstr>Task_2_Solution</vt:lpstr>
      <vt:lpstr>Task_3_Solution</vt:lpstr>
      <vt:lpstr>Task_4_Solution</vt:lpstr>
      <vt:lpstr>Task_5_Solution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Haneesh Chowdary Gurram</cp:lastModifiedBy>
  <dcterms:created xsi:type="dcterms:W3CDTF">2015-02-10T17:33:11Z</dcterms:created>
  <dcterms:modified xsi:type="dcterms:W3CDTF">2024-10-23T15:02:11Z</dcterms:modified>
</cp:coreProperties>
</file>